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_Family\02_Tax\2026_taxform\"/>
    </mc:Choice>
  </mc:AlternateContent>
  <xr:revisionPtr revIDLastSave="0" documentId="13_ncr:1_{4310A5A0-C5EF-41F7-8F13-5A21053A51C5}" xr6:coauthVersionLast="47" xr6:coauthVersionMax="47" xr10:uidLastSave="{00000000-0000-0000-0000-000000000000}"/>
  <bookViews>
    <workbookView xWindow="2850" yWindow="1680" windowWidth="29100" windowHeight="14220" xr2:uid="{4306444B-0262-4BB7-ACAA-38E9B4FA6F9A}"/>
  </bookViews>
  <sheets>
    <sheet name="Overall" sheetId="16" r:id="rId1"/>
    <sheet name="Jan" sheetId="2" r:id="rId2"/>
    <sheet name="Feb" sheetId="5" r:id="rId3"/>
    <sheet name="Mar" sheetId="6" r:id="rId4"/>
    <sheet name="Apr" sheetId="7" r:id="rId5"/>
    <sheet name="May" sheetId="8" r:id="rId6"/>
    <sheet name="June" sheetId="9" r:id="rId7"/>
    <sheet name="July" sheetId="10" r:id="rId8"/>
    <sheet name="Aug" sheetId="11" r:id="rId9"/>
    <sheet name="Sep" sheetId="12" r:id="rId10"/>
    <sheet name="Oct" sheetId="13" r:id="rId11"/>
    <sheet name="Nov" sheetId="14" r:id="rId12"/>
    <sheet name="Dec" sheetId="15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6" l="1"/>
  <c r="B16" i="16"/>
  <c r="B14" i="16"/>
  <c r="B15" i="16"/>
  <c r="B17" i="16"/>
  <c r="B18" i="16"/>
  <c r="B13" i="16"/>
  <c r="B12" i="16"/>
  <c r="B24" i="16"/>
  <c r="B22" i="16"/>
  <c r="B23" i="16"/>
  <c r="B25" i="16"/>
  <c r="B11" i="15"/>
  <c r="B26" i="16"/>
  <c r="B4" i="16"/>
  <c r="B3" i="16"/>
  <c r="B2" i="16"/>
  <c r="B5" i="16"/>
  <c r="B30" i="16"/>
  <c r="B29" i="16"/>
  <c r="B21" i="16"/>
  <c r="B10" i="16"/>
  <c r="B9" i="16"/>
  <c r="B8" i="16"/>
  <c r="B7" i="16"/>
  <c r="B6" i="16"/>
  <c r="B14" i="15"/>
  <c r="B12" i="15"/>
  <c r="B10" i="15"/>
  <c r="B8" i="15"/>
  <c r="B5" i="15"/>
  <c r="B14" i="14"/>
  <c r="B11" i="14"/>
  <c r="B10" i="14"/>
  <c r="B8" i="14"/>
  <c r="B14" i="13"/>
  <c r="B11" i="13"/>
  <c r="B10" i="13"/>
  <c r="B8" i="13"/>
  <c r="B5" i="13"/>
  <c r="B14" i="12"/>
  <c r="B12" i="12"/>
  <c r="B11" i="12"/>
  <c r="B10" i="12"/>
  <c r="B8" i="12"/>
  <c r="B7" i="12"/>
  <c r="B14" i="11"/>
  <c r="B11" i="11"/>
  <c r="B12" i="11"/>
  <c r="B10" i="11"/>
  <c r="B7" i="11"/>
  <c r="B5" i="11"/>
  <c r="B8" i="11"/>
  <c r="B12" i="10"/>
  <c r="B14" i="10"/>
  <c r="B11" i="10"/>
  <c r="B10" i="10"/>
  <c r="B8" i="10"/>
  <c r="B7" i="10"/>
  <c r="B14" i="9"/>
  <c r="B12" i="9"/>
  <c r="B11" i="9"/>
  <c r="B10" i="9"/>
  <c r="B8" i="9"/>
  <c r="B5" i="9"/>
  <c r="B14" i="8"/>
  <c r="B11" i="8"/>
  <c r="B10" i="8"/>
  <c r="B8" i="8"/>
  <c r="B14" i="7"/>
  <c r="B11" i="7"/>
  <c r="B10" i="7"/>
  <c r="B7" i="7"/>
  <c r="B5" i="7"/>
  <c r="B8" i="7"/>
  <c r="B14" i="6"/>
  <c r="B11" i="6"/>
  <c r="B10" i="6"/>
  <c r="B8" i="6"/>
  <c r="B14" i="5"/>
  <c r="B11" i="5"/>
  <c r="B10" i="5"/>
  <c r="B8" i="5"/>
  <c r="B6" i="5"/>
  <c r="B5" i="5"/>
  <c r="B14" i="2"/>
  <c r="B11" i="2"/>
  <c r="B10" i="2"/>
  <c r="B8" i="2"/>
  <c r="B19" i="16" l="1"/>
</calcChain>
</file>

<file path=xl/sharedStrings.xml><?xml version="1.0" encoding="utf-8"?>
<sst xmlns="http://schemas.openxmlformats.org/spreadsheetml/2006/main" count="208" uniqueCount="37">
  <si>
    <t>Water</t>
  </si>
  <si>
    <t>PG&amp;E</t>
  </si>
  <si>
    <t>Garbage</t>
  </si>
  <si>
    <t>Communication</t>
  </si>
  <si>
    <t>Maintenance</t>
  </si>
  <si>
    <t>Travel (gas) + Repair</t>
  </si>
  <si>
    <t>Home Depot</t>
  </si>
  <si>
    <t>Legal</t>
  </si>
  <si>
    <t>Supply</t>
  </si>
  <si>
    <t>Contractor</t>
  </si>
  <si>
    <t>Item</t>
  </si>
  <si>
    <t>Mortgage</t>
  </si>
  <si>
    <t>Property Tax</t>
  </si>
  <si>
    <t>Insurance</t>
  </si>
  <si>
    <t>Overall (Jan to Dec)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</si>
  <si>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</si>
  <si>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</si>
  <si>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</si>
  <si>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</si>
  <si>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</si>
  <si>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</si>
  <si>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</si>
  <si>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</si>
  <si>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</si>
  <si>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</si>
  <si>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</si>
  <si>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</si>
  <si>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 xml:space="preserve">  Roof</t>
  </si>
  <si>
    <t xml:space="preserve">  Fence (Front, Right, Left)</t>
  </si>
  <si>
    <t xml:space="preserve">  Electrical Panel</t>
  </si>
  <si>
    <t xml:space="preserve">  Unit B Paint</t>
  </si>
  <si>
    <t xml:space="preserve">  Unit B Washer and Dryer</t>
  </si>
  <si>
    <t xml:space="preserve">  Tree Service</t>
  </si>
  <si>
    <t xml:space="preserve">  Basement Window</t>
  </si>
  <si>
    <t xml:space="preserve">  Unit D Plumbing</t>
  </si>
  <si>
    <t xml:space="preserve">  Unit C Plumbing</t>
  </si>
  <si>
    <t xml:space="preserve"> 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</si>
</sst>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9F73-8C34-4C98-A9F0-8B57D35360A3}">
  <dimension ref="A1:B30"/>
  <sheetViews>
    <sheetView tabSelected="1" workbookViewId="0">
      <selection activeCell="B28" sqref="B28"/>
    </sheetView>
  </sheetViews>
  <sheetFormatPr defaultRowHeight="15" x14ac:dyDescent="0.25"/>
  <cols>
    <col min="1" max="1" width="24.140625" bestFit="1" customWidth="1"/>
    <col min="2" max="2" width="18.42578125" bestFit="1" customWidth="1"/>
  </cols>
  <sheetData>
    <row r="1" spans="1:2" x14ac:dyDescent="0.25">
      <c r="A1" s="1" t="s">
        <v>10</v>
      </c>
      <c r="B1" s="1" t="s">
        <v>14</v>
      </c>
    </row>
    <row r="2" spans="1:2" x14ac:dyDescent="0.25">
      <c r="A2" s="3" t="s">
        <v>11</v>
      </c>
      <c r="B2" s="4">
        <f>SUM(Jan!B2, Feb!B2, Mar!B2, Apr!B2, May!B2, June!B2, July!B2, Aug!B2, Sep!B2, Oct!B2, Nov!B2, Dec!B2)</f>
        <v>0</v>
      </c>
    </row>
    <row r="3" spans="1:2" x14ac:dyDescent="0.25">
      <c r="A3" s="3" t="s">
        <v>12</v>
      </c>
      <c r="B3" s="5">
        <f>SUM(Jan!B3, Feb!B3, Mar!B3, Apr!B3, May!B3, June!B3, July!B3, Aug!B3, Sep!B3, Oct!B3, Nov!B3, Dec!B3)</f>
        <v>0</v>
      </c>
    </row>
    <row r="4" spans="1:2" x14ac:dyDescent="0.25">
      <c r="A4" s="3" t="s">
        <v>13</v>
      </c>
      <c r="B4" s="4">
        <f>SUM(Jan!B4, Feb!B4, Mar!B4, Apr!B4, May!B4, June!B4, July!B4, Aug!B4, Sep!B4, Oct!B4, Nov!B4, Dec!B4)</f>
        <v>0</v>
      </c>
    </row>
    <row r="5" spans="1:2" x14ac:dyDescent="0.25">
      <c r="A5" s="2" t="s">
        <v>0</v>
      </c>
      <c r="B5" s="2">
        <f>SUM(Jan!B5, Feb!B5, Mar!B5, Apr!B5, May!B5, June!B5, July!B5, Aug!B5, Sep!B5, Oct!B5, Nov!B5, Dec!B5)</f>
        <v>3644.3399999999997</v>
      </c>
    </row>
    <row r="6" spans="1:2" x14ac:dyDescent="0.25">
      <c r="A6" s="2" t="s">
        <v>1</v>
      </c>
      <c r="B6" s="2">
        <f>SUM(Jan!B6, Feb!B6, Mar!B6, Apr!B6, May!B6, June!B6, July!B6, Aug!B6, Sep!B6, Oct!B6, Nov!B6, Dec!B6)</f>
        <v>226.92000000000002</v>
      </c>
    </row>
    <row r="7" spans="1:2" x14ac:dyDescent="0.25">
      <c r="A7" s="2" t="s">
        <v>2</v>
      </c>
      <c r="B7" s="2">
        <f>SUM(Jan!B7, Feb!B7, Mar!B7, Apr!B7, May!B7, June!B7, July!B7, Aug!B7, Sep!B7, Oct!B7, Nov!B7, Dec!B7)</f>
        <v>2549.11</v>
      </c>
    </row>
    <row r="8" spans="1:2" x14ac:dyDescent="0.25">
      <c r="A8" s="2" t="s">
        <v>3</v>
      </c>
      <c r="B8" s="2">
        <f>SUM(Jan!B8, Feb!B8, Mar!B8, Apr!B8, May!B8, June!B8, July!B8, Aug!B8, Sep!B8, Oct!B8, Nov!B8, Dec!B8)</f>
        <v>3354.6199999999994</v>
      </c>
    </row>
    <row r="9" spans="1:2" x14ac:dyDescent="0.25">
      <c r="A9" s="2" t="s">
        <v>4</v>
      </c>
      <c r="B9" s="2">
        <f>SUM(Jan!B9, Feb!B9, Mar!B9, Apr!B9, May!B9, June!B9, July!B9, Aug!B9, Sep!B9, Oct!B9, Nov!B9, Dec!B9)</f>
        <v>725</v>
      </c>
    </row>
    <row r="10" spans="1:2" x14ac:dyDescent="0.25">
      <c r="A10" s="2" t="s">
        <v>5</v>
      </c>
      <c r="B10" s="2">
        <f>SUM(Jan!B10, Feb!B10, Mar!B10, Apr!B10, May!B10, June!B10, July!B10, Aug!B10, Sep!B10, Oct!B10, Nov!B10, Dec!B10)</f>
        <v>8186.59</v>
      </c>
    </row>
    <row r="11" spans="1:2" x14ac:dyDescent="0.25">
      <c r="A11" s="2"/>
      <c r="B11" s="2"/>
    </row>
    <row r="12" spans="1:2" x14ac:dyDescent="0.25">
      <c r="A12" s="2" t="s">
        <v>6</v>
      </c>
      <c r="B12" s="6">
        <f>SUM(Jan!B11, Feb!B11, Mar!B11, Apr!B11, May!B11, June!B11, July!B11, Aug!B11, Sep!B11, Oct!B11, Nov!B11, Dec!B11)</f>
        <v>25788.91</v>
      </c>
    </row>
    <row r="13" spans="1:2" x14ac:dyDescent="0.25">
      <c r="A13" s="2" t="s">
        <v>31</v>
      </c>
      <c r="B13" s="2">
        <f>SUM(Jan!B11)</f>
        <v>1734.21</v>
      </c>
    </row>
    <row r="14" spans="1:2" x14ac:dyDescent="0.25">
      <c r="A14" s="2" t="s">
        <v>30</v>
      </c>
      <c r="B14" s="6">
        <f>SUM(May!B11)</f>
        <v>625.69999999999993</v>
      </c>
    </row>
    <row r="15" spans="1:2" x14ac:dyDescent="0.25">
      <c r="A15" s="2" t="s">
        <v>27</v>
      </c>
      <c r="B15" s="2">
        <f>SUM(June!B11, July!B11, Aug!B11)</f>
        <v>12632.89</v>
      </c>
    </row>
    <row r="16" spans="1:2" x14ac:dyDescent="0.25">
      <c r="A16" s="2" t="s">
        <v>28</v>
      </c>
      <c r="B16" s="6">
        <f>SUM(Feb!B11, Mar!B11, Apr!B11, Oct!B11, Nov!B11)</f>
        <v>7028.9800000000005</v>
      </c>
    </row>
    <row r="17" spans="1:2" x14ac:dyDescent="0.25">
      <c r="A17" s="2" t="s">
        <v>33</v>
      </c>
      <c r="B17" s="2">
        <f>SUM( Sep!B11)</f>
        <v>1283.97</v>
      </c>
    </row>
    <row r="18" spans="1:2" x14ac:dyDescent="0.25">
      <c r="A18" s="2" t="s">
        <v>29</v>
      </c>
      <c r="B18" s="2">
        <f>SUM(Dec!B11)</f>
        <v>2483.1600000000003</v>
      </c>
    </row>
    <row r="19" spans="1:2" x14ac:dyDescent="0.25">
      <c r="A19" s="2" t="s">
        <v>36</v>
      </c>
      <c r="B19" s="6">
        <f>SUM(B13:B18)</f>
        <v>25788.91</v>
      </c>
    </row>
    <row r="20" spans="1:2" x14ac:dyDescent="0.25">
      <c r="A20" s="2"/>
      <c r="B20" s="2"/>
    </row>
    <row r="21" spans="1:2" x14ac:dyDescent="0.25">
      <c r="A21" s="2" t="s">
        <v>9</v>
      </c>
      <c r="B21" s="6">
        <f>SUM(Jan!B12, Feb!B12, Mar!B12, Apr!B12, May!B12, June!B12, July!B12, Aug!B12, Sep!B12, Oct!B12, Nov!B12, Dec!B12)</f>
        <v>26274.2</v>
      </c>
    </row>
    <row r="22" spans="1:2" x14ac:dyDescent="0.25">
      <c r="A22" s="2" t="s">
        <v>35</v>
      </c>
      <c r="B22" s="6">
        <f>SUM( Aug!B12)</f>
        <v>850</v>
      </c>
    </row>
    <row r="23" spans="1:2" x14ac:dyDescent="0.25">
      <c r="A23" s="2" t="s">
        <v>34</v>
      </c>
      <c r="B23" s="6">
        <f>SUM(Jan!B12, Feb!B12, Apr!B12, May!B12)</f>
        <v>320</v>
      </c>
    </row>
    <row r="24" spans="1:2" x14ac:dyDescent="0.25">
      <c r="A24" s="2" t="s">
        <v>27</v>
      </c>
      <c r="B24" s="6">
        <f>SUM(June!B12, July!B12, Sep!B12)</f>
        <v>20604.2</v>
      </c>
    </row>
    <row r="25" spans="1:2" x14ac:dyDescent="0.25">
      <c r="A25" s="2" t="s">
        <v>32</v>
      </c>
      <c r="B25" s="6">
        <f>SUM(Mar!B12)</f>
        <v>1500</v>
      </c>
    </row>
    <row r="26" spans="1:2" x14ac:dyDescent="0.25">
      <c r="A26" s="2" t="s">
        <v>29</v>
      </c>
      <c r="B26" s="6">
        <f>SUM(Dec!B12)</f>
        <v>3000</v>
      </c>
    </row>
    <row r="27" spans="1:2" x14ac:dyDescent="0.25">
      <c r="A27" s="2" t="s">
        <v>36</v>
      </c>
      <c r="B27" s="6">
        <f>SUM(B22:B26)</f>
        <v>26274.2</v>
      </c>
    </row>
    <row r="28" spans="1:2" x14ac:dyDescent="0.25">
      <c r="A28" s="2"/>
      <c r="B28" s="6"/>
    </row>
    <row r="29" spans="1:2" x14ac:dyDescent="0.25">
      <c r="A29" s="2" t="s">
        <v>7</v>
      </c>
      <c r="B29" s="2">
        <f>SUM(Jan!B13, Feb!B13, Mar!B13, Apr!B13, May!B13, June!B13, July!B13, Aug!B13, Sep!B13, Oct!B13, Nov!B13, Dec!B13)</f>
        <v>2008.63</v>
      </c>
    </row>
    <row r="30" spans="1:2" x14ac:dyDescent="0.25">
      <c r="A30" s="2" t="s">
        <v>8</v>
      </c>
      <c r="B30" s="2">
        <f>SUM(Jan!B14, Feb!B14, Mar!B14, Apr!B14, May!B14, June!B14, July!B14, Aug!B14, Sep!B14, Oct!B14, Nov!B14, Dec!B14)</f>
        <v>2332.0300000000002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FE07-0FED-4064-9443-CA12CD81F35A}">
  <dimension ref="A1:B14"/>
  <sheetViews>
    <sheetView workbookViewId="0">
      <selection activeCell="B11" sqref="B11"/>
    </sheetView>
  </sheetViews>
  <sheetFormatPr defaultRowHeight="15" x14ac:dyDescent="0.25"/>
  <cols>
    <col min="1" max="1" width="19" bestFit="1" customWidth="1"/>
    <col min="2" max="2" width="8" bestFit="1" customWidth="1"/>
  </cols>
  <sheetData>
    <row r="1" spans="1:2" x14ac:dyDescent="0.25">
      <c r="A1" s="1" t="s">
        <v>10</v>
      </c>
      <c r="B1" s="1" t="s">
        <v>15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v>0</v>
      </c>
    </row>
    <row r="6" spans="1:2" x14ac:dyDescent="0.25">
      <c r="A6" s="2" t="s">
        <v>1</v>
      </c>
      <c r="B6" s="2">
        <v>0</v>
      </c>
    </row>
    <row r="7" spans="1:2" x14ac:dyDescent="0.25">
      <c r="A7" s="2" t="s">
        <v>2</v>
      </c>
      <c r="B7" s="2">
        <v>152.46</v>
      </c>
    </row>
    <row r="8" spans="1:2" x14ac:dyDescent="0.25">
      <c r="A8" s="2" t="s">
        <v>3</v>
      </c>
      <c r="B8" s="2">
        <f xml:space="preserve"> 94+185.88+65.46</f>
        <v>345.34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125.87+ 166.41</f>
        <v>292.27999999999997</v>
      </c>
    </row>
    <row r="11" spans="1:2" x14ac:dyDescent="0.25">
      <c r="A11" s="2" t="s">
        <v>6</v>
      </c>
      <c r="B11" s="2">
        <f>1686.37 + 17.42+6.5+23.92</f>
        <v>1734.21</v>
      </c>
    </row>
    <row r="12" spans="1:2" x14ac:dyDescent="0.25">
      <c r="A12" s="2" t="s">
        <v>9</v>
      </c>
      <c r="B12" s="2">
        <v>20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16.36+21.81</f>
        <v>38.17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B0D4-846E-4AA7-93F4-989EBC647507}">
  <dimension ref="A1:B14"/>
  <sheetViews>
    <sheetView workbookViewId="0">
      <selection activeCell="B12" sqref="B12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16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f>455.52+207.4</f>
        <v>662.92</v>
      </c>
    </row>
    <row r="6" spans="1:2" x14ac:dyDescent="0.25">
      <c r="A6" s="2" t="s">
        <v>1</v>
      </c>
      <c r="B6" s="2">
        <f>17.79</f>
        <v>17.79</v>
      </c>
    </row>
    <row r="7" spans="1:2" x14ac:dyDescent="0.25">
      <c r="A7" s="2" t="s">
        <v>2</v>
      </c>
      <c r="B7" s="2">
        <v>152.46</v>
      </c>
    </row>
    <row r="8" spans="1:2" x14ac:dyDescent="0.25">
      <c r="A8" s="2" t="s">
        <v>3</v>
      </c>
      <c r="B8" s="2">
        <f xml:space="preserve"> 102+176.33</f>
        <v>278.33000000000004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51.23+31.44+39.5+40.35+43.54+36.95+36.31+56.56</f>
        <v>335.88</v>
      </c>
    </row>
    <row r="11" spans="1:2" x14ac:dyDescent="0.25">
      <c r="A11" s="2" t="s">
        <v>6</v>
      </c>
      <c r="B11" s="2">
        <f>21.46+71.79+73.68+4.33</f>
        <v>171.26000000000002</v>
      </c>
    </row>
    <row r="12" spans="1:2" x14ac:dyDescent="0.25">
      <c r="A12" s="2" t="s">
        <v>9</v>
      </c>
      <c r="B12" s="2">
        <v>300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32.72+21.81+91.62+41.44+32.73+16.36</f>
        <v>236.68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E1E0-D3C7-4B80-9B53-8583EBDB6C81}">
  <dimension ref="A1:B14"/>
  <sheetViews>
    <sheetView workbookViewId="0">
      <selection activeCell="B12" sqref="B12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17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v>0</v>
      </c>
    </row>
    <row r="6" spans="1:2" x14ac:dyDescent="0.25">
      <c r="A6" s="2" t="s">
        <v>1</v>
      </c>
      <c r="B6" s="2">
        <v>15.53</v>
      </c>
    </row>
    <row r="7" spans="1:2" x14ac:dyDescent="0.25">
      <c r="A7" s="2" t="s">
        <v>2</v>
      </c>
      <c r="B7" s="2">
        <v>152.46</v>
      </c>
    </row>
    <row r="8" spans="1:2" x14ac:dyDescent="0.25">
      <c r="A8" s="2" t="s">
        <v>3</v>
      </c>
      <c r="B8" s="2">
        <f>102+176.32</f>
        <v>278.32</v>
      </c>
    </row>
    <row r="9" spans="1:2" x14ac:dyDescent="0.25">
      <c r="A9" s="2" t="s">
        <v>4</v>
      </c>
      <c r="B9" s="2">
        <v>210</v>
      </c>
    </row>
    <row r="10" spans="1:2" x14ac:dyDescent="0.25">
      <c r="A10" s="2" t="s">
        <v>5</v>
      </c>
      <c r="B10" s="2">
        <f>37.13+36.95+43.92+43.06+1400+38.2+66.7+40.02+65.71+56.3</f>
        <v>1827.99</v>
      </c>
    </row>
    <row r="11" spans="1:2" x14ac:dyDescent="0.25">
      <c r="A11" s="2" t="s">
        <v>6</v>
      </c>
      <c r="B11" s="2">
        <f>10.89+7.57+5.42</f>
        <v>23.880000000000003</v>
      </c>
    </row>
    <row r="12" spans="1:2" x14ac:dyDescent="0.25">
      <c r="A12" s="2" t="s">
        <v>9</v>
      </c>
      <c r="B12" s="2">
        <v>1500</v>
      </c>
    </row>
    <row r="13" spans="1:2" x14ac:dyDescent="0.25">
      <c r="A13" s="2" t="s">
        <v>7</v>
      </c>
      <c r="B13" s="2">
        <v>725</v>
      </c>
    </row>
    <row r="14" spans="1:2" x14ac:dyDescent="0.25">
      <c r="A14" s="2" t="s">
        <v>8</v>
      </c>
      <c r="B14" s="2">
        <f>45.78+43.6+54.53+23.54+16.36+36.15</f>
        <v>219.96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6815-77C5-422B-A531-305720B087B7}">
  <dimension ref="A1:B14"/>
  <sheetViews>
    <sheetView workbookViewId="0">
      <selection activeCell="B12" sqref="B12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18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f>308.66+209.83</f>
        <v>518.49</v>
      </c>
    </row>
    <row r="6" spans="1:2" x14ac:dyDescent="0.25">
      <c r="A6" s="2" t="s">
        <v>1</v>
      </c>
      <c r="B6" s="2">
        <v>13.14</v>
      </c>
    </row>
    <row r="7" spans="1:2" x14ac:dyDescent="0.25">
      <c r="A7" s="2" t="s">
        <v>2</v>
      </c>
      <c r="B7" s="2">
        <f>103.72+166.35</f>
        <v>270.07</v>
      </c>
    </row>
    <row r="8" spans="1:2" x14ac:dyDescent="0.25">
      <c r="A8" s="2" t="s">
        <v>3</v>
      </c>
      <c r="B8" s="2">
        <f>102+176.32</f>
        <v>278.32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41.62+44.41+40.81+38</f>
        <v>164.84</v>
      </c>
    </row>
    <row r="11" spans="1:2" x14ac:dyDescent="0.25">
      <c r="A11" s="2" t="s">
        <v>6</v>
      </c>
      <c r="B11" s="2">
        <f>47.93+43.62+288.04+1060.59+21.8+445.14+11.97+70.93+65.58+63.58</f>
        <v>2119.1799999999998</v>
      </c>
    </row>
    <row r="12" spans="1:2" x14ac:dyDescent="0.25">
      <c r="A12" s="2" t="s">
        <v>9</v>
      </c>
      <c r="B12" s="2">
        <v>0</v>
      </c>
    </row>
    <row r="13" spans="1:2" x14ac:dyDescent="0.25">
      <c r="A13" s="2" t="s">
        <v>7</v>
      </c>
      <c r="B13" s="2">
        <v>244.39</v>
      </c>
    </row>
    <row r="14" spans="1:2" x14ac:dyDescent="0.25">
      <c r="A14" s="2" t="s">
        <v>8</v>
      </c>
      <c r="B14" s="2">
        <f>16.36+55.64</f>
        <v>72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7E9-6A9A-40D8-BB97-292449F94DEB}">
  <dimension ref="A1:B14"/>
  <sheetViews>
    <sheetView workbookViewId="0">
      <selection activeCell="B11" sqref="B11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19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v>0</v>
      </c>
    </row>
    <row r="6" spans="1:2" x14ac:dyDescent="0.25">
      <c r="A6" s="2" t="s">
        <v>1</v>
      </c>
      <c r="B6" s="2">
        <v>0</v>
      </c>
    </row>
    <row r="7" spans="1:2" x14ac:dyDescent="0.25">
      <c r="A7" s="2" t="s">
        <v>2</v>
      </c>
      <c r="B7" s="2">
        <v>152.46</v>
      </c>
    </row>
    <row r="8" spans="1:2" x14ac:dyDescent="0.25">
      <c r="A8" s="2" t="s">
        <v>3</v>
      </c>
      <c r="B8" s="2">
        <f>103+166.35</f>
        <v>269.35000000000002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60+75.2+39.36+21.66+42.37+44.02+42.62+45.92+68.52+67.89</f>
        <v>507.56</v>
      </c>
    </row>
    <row r="11" spans="1:2" x14ac:dyDescent="0.25">
      <c r="A11" s="2" t="s">
        <v>6</v>
      </c>
      <c r="B11" s="6">
        <f>8.63+11+83.96+38.16+75.23+109.05+251.19+45.92+2.56</f>
        <v>625.69999999999993</v>
      </c>
    </row>
    <row r="12" spans="1:2" x14ac:dyDescent="0.25">
      <c r="A12" s="2" t="s">
        <v>9</v>
      </c>
      <c r="B12" s="2">
        <v>0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54.56+87.25+10.9+414.66+49.08+32.73+111.93+55.62+28.47+16.36+21.81+37.1</f>
        <v>920.47000000000014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4366-29F4-4D90-8240-9AA80D113C21}">
  <dimension ref="A1:B14"/>
  <sheetViews>
    <sheetView workbookViewId="0">
      <selection activeCell="G18" sqref="G18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20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f>350.68+214.67</f>
        <v>565.35</v>
      </c>
    </row>
    <row r="6" spans="1:2" x14ac:dyDescent="0.25">
      <c r="A6" s="2" t="s">
        <v>1</v>
      </c>
      <c r="B6" s="2">
        <v>0</v>
      </c>
    </row>
    <row r="7" spans="1:2" x14ac:dyDescent="0.25">
      <c r="A7" s="2" t="s">
        <v>2</v>
      </c>
      <c r="B7" s="2">
        <v>152.46</v>
      </c>
    </row>
    <row r="8" spans="1:2" x14ac:dyDescent="0.25">
      <c r="A8" s="2" t="s">
        <v>3</v>
      </c>
      <c r="B8" s="2">
        <f>103+167.4</f>
        <v>270.39999999999998</v>
      </c>
    </row>
    <row r="9" spans="1:2" x14ac:dyDescent="0.25">
      <c r="A9" s="2" t="s">
        <v>4</v>
      </c>
      <c r="B9" s="2">
        <v>210</v>
      </c>
    </row>
    <row r="10" spans="1:2" x14ac:dyDescent="0.25">
      <c r="A10" s="2" t="s">
        <v>5</v>
      </c>
      <c r="B10" s="2">
        <f>43.58+53.55+42.34+37.35+37.59+60.87+60.81+67.38</f>
        <v>403.46999999999997</v>
      </c>
    </row>
    <row r="11" spans="1:2" x14ac:dyDescent="0.25">
      <c r="A11" s="2" t="s">
        <v>6</v>
      </c>
      <c r="B11" s="2">
        <f>3573.59+19.41+333.46+508.88+312.23+84.52+760.99+242.15+107.35+95.86</f>
        <v>6038.44</v>
      </c>
    </row>
    <row r="12" spans="1:2" x14ac:dyDescent="0.25">
      <c r="A12" s="2" t="s">
        <v>9</v>
      </c>
      <c r="B12" s="2">
        <f>807+21.47+3250+800+470+3250+200+150</f>
        <v>8948.4700000000012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65.46+16.36+50.94</f>
        <v>132.76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F147-B31A-437C-8820-F7AD572752CA}">
  <dimension ref="A1:B14"/>
  <sheetViews>
    <sheetView workbookViewId="0">
      <selection activeCell="B11" sqref="B11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21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v>0</v>
      </c>
    </row>
    <row r="6" spans="1:2" x14ac:dyDescent="0.25">
      <c r="A6" s="2" t="s">
        <v>1</v>
      </c>
      <c r="B6" s="2">
        <v>0</v>
      </c>
    </row>
    <row r="7" spans="1:2" x14ac:dyDescent="0.25">
      <c r="A7" s="2" t="s">
        <v>2</v>
      </c>
      <c r="B7" s="2">
        <f>160.97+35+27+49+49+45.5+27+152.46</f>
        <v>545.93000000000006</v>
      </c>
    </row>
    <row r="8" spans="1:2" x14ac:dyDescent="0.25">
      <c r="A8" s="2" t="s">
        <v>3</v>
      </c>
      <c r="B8" s="2">
        <f>103+166.35</f>
        <v>269.35000000000002</v>
      </c>
    </row>
    <row r="9" spans="1:2" x14ac:dyDescent="0.25">
      <c r="A9" s="2" t="s">
        <v>4</v>
      </c>
      <c r="B9" s="2">
        <v>210</v>
      </c>
    </row>
    <row r="10" spans="1:2" x14ac:dyDescent="0.25">
      <c r="A10" s="2" t="s">
        <v>5</v>
      </c>
      <c r="B10" s="2">
        <f>43.41+27.53+35.33+38.34+43.28+48.64+47.4+49.03+52.19+77.46+59.05</f>
        <v>521.66</v>
      </c>
    </row>
    <row r="11" spans="1:2" x14ac:dyDescent="0.25">
      <c r="A11" s="2" t="s">
        <v>6</v>
      </c>
      <c r="B11" s="2">
        <f>163.9+458.88+11.99+55.98+810.99+53.61+287.11+1228.65+150.22+140.77+40.04+83.94+14.16+285.37+103.59+44.48+34.33+56.66+19.63+19.6+17.23+29.41+48.31+67.3+105.9</f>
        <v>4332.05</v>
      </c>
    </row>
    <row r="12" spans="1:2" x14ac:dyDescent="0.25">
      <c r="A12" s="2" t="s">
        <v>9</v>
      </c>
      <c r="B12" s="2">
        <f>1660+3250+20+150+4950+75.73</f>
        <v>10105.73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25.52+16.36</f>
        <v>41.879999999999995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B070-A42E-4BB2-ACF9-93FAC5F5F134}">
  <dimension ref="A1:B14"/>
  <sheetViews>
    <sheetView workbookViewId="0">
      <selection activeCell="B12" sqref="B12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22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f>333.3+216.76</f>
        <v>550.05999999999995</v>
      </c>
    </row>
    <row r="6" spans="1:2" x14ac:dyDescent="0.25">
      <c r="A6" s="2" t="s">
        <v>1</v>
      </c>
      <c r="B6" s="2">
        <v>0</v>
      </c>
    </row>
    <row r="7" spans="1:2" x14ac:dyDescent="0.25">
      <c r="A7" s="2" t="s">
        <v>2</v>
      </c>
      <c r="B7" s="2">
        <f>27+152.46</f>
        <v>179.46</v>
      </c>
    </row>
    <row r="8" spans="1:2" x14ac:dyDescent="0.25">
      <c r="A8" s="2" t="s">
        <v>3</v>
      </c>
      <c r="B8" s="2">
        <f>103+166.35</f>
        <v>269.35000000000002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37.66+42.97+40.55+40.01+36.15+20+39.24+800+40.68+55.83+59.51+53.6</f>
        <v>1266.1999999999998</v>
      </c>
    </row>
    <row r="11" spans="1:2" x14ac:dyDescent="0.25">
      <c r="A11" s="2" t="s">
        <v>6</v>
      </c>
      <c r="B11" s="2">
        <f>64.33+44.8+51.24+160.62+18.14+11.97+85.75+89.18+5.29+27.55+18.15+7.19+133.49+35.96+7.13+50.55+29.4+52.87+117.34+30.77+27.25+90.59+33.01+96.81+128.65+61.81+16.63+33.26+114.84+271.86+11.97+46.61+11.97+38.71+64.4+83.01+89.3</f>
        <v>2262.4</v>
      </c>
    </row>
    <row r="12" spans="1:2" x14ac:dyDescent="0.25">
      <c r="A12" s="2" t="s">
        <v>9</v>
      </c>
      <c r="B12" s="2">
        <f>500+350</f>
        <v>850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89.26+89.26+16.36</f>
        <v>194.88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DDC1-E30E-418D-A088-C8B75004DBF3}">
  <dimension ref="A1:B14"/>
  <sheetViews>
    <sheetView workbookViewId="0">
      <selection activeCell="B11" sqref="B11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23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v>0</v>
      </c>
    </row>
    <row r="6" spans="1:2" x14ac:dyDescent="0.25">
      <c r="A6" s="2" t="s">
        <v>1</v>
      </c>
      <c r="B6" s="2">
        <v>11.62</v>
      </c>
    </row>
    <row r="7" spans="1:2" x14ac:dyDescent="0.25">
      <c r="A7" s="2" t="s">
        <v>2</v>
      </c>
      <c r="B7" s="2">
        <f>27+32.2+27+27+29.15+27+155.5</f>
        <v>324.85000000000002</v>
      </c>
    </row>
    <row r="8" spans="1:2" x14ac:dyDescent="0.25">
      <c r="A8" s="2" t="s">
        <v>3</v>
      </c>
      <c r="B8" s="2">
        <f>103+166.35</f>
        <v>269.35000000000002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43.15+46.74+41.49+40.29+42.26+700+65.08+700</f>
        <v>1679.01</v>
      </c>
    </row>
    <row r="11" spans="1:2" x14ac:dyDescent="0.25">
      <c r="A11" s="2" t="s">
        <v>6</v>
      </c>
      <c r="B11" s="2">
        <f>72.97+21.8+7.61+59.56+93.87+49.9+161.91+131.98+81.63+45.7+39.54+56+104.32+70.98+29.11+63.85+8.7+63.49+43.63+77.42</f>
        <v>1283.97</v>
      </c>
    </row>
    <row r="12" spans="1:2" x14ac:dyDescent="0.25">
      <c r="A12" s="2" t="s">
        <v>9</v>
      </c>
      <c r="B12" s="2">
        <f>1550</f>
        <v>1550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9.26+23.56+32.58+16.36+47.71</f>
        <v>129.47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745-4D11-4B97-8A29-822EA5CD5505}">
  <dimension ref="A1:B14"/>
  <sheetViews>
    <sheetView workbookViewId="0">
      <selection activeCell="B11" sqref="B11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24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f xml:space="preserve"> 382.37+217.48</f>
        <v>599.85</v>
      </c>
    </row>
    <row r="6" spans="1:2" x14ac:dyDescent="0.25">
      <c r="A6" s="2" t="s">
        <v>1</v>
      </c>
      <c r="B6" s="2">
        <v>13.34</v>
      </c>
    </row>
    <row r="7" spans="1:2" x14ac:dyDescent="0.25">
      <c r="A7" s="2" t="s">
        <v>2</v>
      </c>
      <c r="B7" s="2">
        <v>155.5</v>
      </c>
    </row>
    <row r="8" spans="1:2" x14ac:dyDescent="0.25">
      <c r="A8" s="2" t="s">
        <v>3</v>
      </c>
      <c r="B8" s="2">
        <f>92.07+166.43+43.74</f>
        <v>302.24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43.98+38.7+54.57+33.83+38.78+38.24+65+61.91</f>
        <v>375.01</v>
      </c>
    </row>
    <row r="11" spans="1:2" x14ac:dyDescent="0.25">
      <c r="A11" s="2" t="s">
        <v>6</v>
      </c>
      <c r="B11" s="2">
        <f>14.16+4.5+26.08+89.63+108.89+4.5+18.46+52.22+26.08+2.99+12.78+70+61+28.17+71.93+14.15+106.31+39.29+78.1+45.75+37.92+178.19+6.5+79.02+3.67+83.64+46.31+94.06+110.6+119.23+199.17+109.04+50.31+93.33+75.11+60.11+100.33</f>
        <v>2321.5300000000002</v>
      </c>
    </row>
    <row r="12" spans="1:2" x14ac:dyDescent="0.25">
      <c r="A12" s="2" t="s">
        <v>9</v>
      </c>
      <c r="B12" s="2">
        <v>0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16.36+21.81</f>
        <v>38.17</v>
      </c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404-90F0-4C45-98BB-60AC959FBA35}">
  <dimension ref="A1:B14"/>
  <sheetViews>
    <sheetView workbookViewId="0">
      <selection activeCell="B11" sqref="B11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25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v>0</v>
      </c>
    </row>
    <row r="6" spans="1:2" x14ac:dyDescent="0.25">
      <c r="A6" s="2" t="s">
        <v>1</v>
      </c>
      <c r="B6" s="2">
        <v>0</v>
      </c>
    </row>
    <row r="7" spans="1:2" x14ac:dyDescent="0.25">
      <c r="A7" s="2" t="s">
        <v>2</v>
      </c>
      <c r="B7" s="2">
        <v>155.5</v>
      </c>
    </row>
    <row r="8" spans="1:2" x14ac:dyDescent="0.25">
      <c r="A8" s="2" t="s">
        <v>3</v>
      </c>
      <c r="B8" s="2">
        <f>95+166.45</f>
        <v>261.45</v>
      </c>
    </row>
    <row r="9" spans="1:2" x14ac:dyDescent="0.25">
      <c r="A9" s="2" t="s">
        <v>4</v>
      </c>
      <c r="B9" s="2">
        <v>0</v>
      </c>
    </row>
    <row r="10" spans="1:2" x14ac:dyDescent="0.25">
      <c r="A10" s="2" t="s">
        <v>5</v>
      </c>
      <c r="B10" s="2">
        <f>45.88+42.77+38.89+33.11+38.65+57.09</f>
        <v>256.39</v>
      </c>
    </row>
    <row r="11" spans="1:2" x14ac:dyDescent="0.25">
      <c r="A11" s="2" t="s">
        <v>6</v>
      </c>
      <c r="B11" s="2">
        <f>14.7+50.09+14.82+65.48+24.29+24.09+18.74+184.42+50.77+193.48+923.92+36.29+20.64+53+198.18+28.21+184.42+79.02+228.57</f>
        <v>2393.13</v>
      </c>
    </row>
    <row r="12" spans="1:2" x14ac:dyDescent="0.25">
      <c r="A12" s="2" t="s">
        <v>9</v>
      </c>
      <c r="B12" s="2">
        <v>0</v>
      </c>
    </row>
    <row r="13" spans="1:2" x14ac:dyDescent="0.25">
      <c r="A13" s="2" t="s">
        <v>7</v>
      </c>
      <c r="B13" s="2">
        <v>1039.24</v>
      </c>
    </row>
    <row r="14" spans="1:2" x14ac:dyDescent="0.25">
      <c r="A14" s="2" t="s">
        <v>8</v>
      </c>
      <c r="B14" s="2">
        <f>16.36</f>
        <v>16.36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AC91-CCF9-473E-B12B-0F1930D2815D}">
  <dimension ref="A1:B14"/>
  <sheetViews>
    <sheetView workbookViewId="0">
      <selection activeCell="B11" sqref="B11"/>
    </sheetView>
  </sheetViews>
  <sheetFormatPr defaultRowHeight="15" x14ac:dyDescent="0.25"/>
  <cols>
    <col min="1" max="1" width="19" bestFit="1" customWidth="1"/>
  </cols>
  <sheetData>
    <row r="1" spans="1:2" x14ac:dyDescent="0.25">
      <c r="A1" s="1" t="s">
        <v>10</v>
      </c>
      <c r="B1" s="1" t="s">
        <v>26</v>
      </c>
    </row>
    <row r="2" spans="1:2" x14ac:dyDescent="0.25">
      <c r="A2" s="3" t="s">
        <v>11</v>
      </c>
      <c r="B2" s="4">
        <v>0</v>
      </c>
    </row>
    <row r="3" spans="1:2" x14ac:dyDescent="0.25">
      <c r="A3" s="3" t="s">
        <v>12</v>
      </c>
      <c r="B3" s="4">
        <v>0</v>
      </c>
    </row>
    <row r="4" spans="1:2" x14ac:dyDescent="0.25">
      <c r="A4" s="3" t="s">
        <v>13</v>
      </c>
      <c r="B4" s="4">
        <v>0</v>
      </c>
    </row>
    <row r="5" spans="1:2" x14ac:dyDescent="0.25">
      <c r="A5" s="2" t="s">
        <v>0</v>
      </c>
      <c r="B5" s="2">
        <f>491.3+256.37</f>
        <v>747.67000000000007</v>
      </c>
    </row>
    <row r="6" spans="1:2" x14ac:dyDescent="0.25">
      <c r="A6" s="2" t="s">
        <v>1</v>
      </c>
      <c r="B6" s="2">
        <v>155.5</v>
      </c>
    </row>
    <row r="7" spans="1:2" x14ac:dyDescent="0.25">
      <c r="A7" s="2" t="s">
        <v>2</v>
      </c>
      <c r="B7" s="2">
        <v>155.5</v>
      </c>
    </row>
    <row r="8" spans="1:2" x14ac:dyDescent="0.25">
      <c r="A8" s="2" t="s">
        <v>3</v>
      </c>
      <c r="B8" s="2">
        <f>95+167.82</f>
        <v>262.82</v>
      </c>
    </row>
    <row r="9" spans="1:2" x14ac:dyDescent="0.25">
      <c r="A9" s="2" t="s">
        <v>4</v>
      </c>
      <c r="B9" s="2">
        <v>95</v>
      </c>
    </row>
    <row r="10" spans="1:2" x14ac:dyDescent="0.25">
      <c r="A10" s="2" t="s">
        <v>5</v>
      </c>
      <c r="B10" s="2">
        <f>36.51+35.08+80.2+33.19+270+33.95+41.3+26.07</f>
        <v>556.30000000000007</v>
      </c>
    </row>
    <row r="11" spans="1:2" x14ac:dyDescent="0.25">
      <c r="A11" s="2" t="s">
        <v>6</v>
      </c>
      <c r="B11" s="2">
        <f>49.28+87.3+190.97+11.49+57.35+104.77+184.42+21.07+239.13+35.23+212.04+55.57+190.97+242.49+72.58+67.43+17.59+77.46+32.19+110.81+49.6+27.52+168.05+9.8+168.05</f>
        <v>2483.1600000000003</v>
      </c>
    </row>
    <row r="12" spans="1:2" x14ac:dyDescent="0.25">
      <c r="A12" s="2" t="s">
        <v>9</v>
      </c>
      <c r="B12" s="2">
        <f>220+1870+910</f>
        <v>3000</v>
      </c>
    </row>
    <row r="13" spans="1:2" x14ac:dyDescent="0.25">
      <c r="A13" s="2" t="s">
        <v>7</v>
      </c>
      <c r="B13" s="2">
        <v>0</v>
      </c>
    </row>
    <row r="14" spans="1:2" x14ac:dyDescent="0.25">
      <c r="A14" s="2" t="s">
        <v>8</v>
      </c>
      <c r="B14" s="2">
        <f>42.56+41.46+19.2+41.46+19.2+92.75+18.24+16.36</f>
        <v>291.23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Chen</dc:creator>
  <cp:lastModifiedBy>Peter Chen</cp:lastModifiedBy>
  <cp:lastPrinted>2026-03-02T04:29:23Z</cp:lastPrinted>
  <dcterms:created xsi:type="dcterms:W3CDTF">2026-02-27T22:44:27Z</dcterms:created>
  <dcterms:modified xsi:type="dcterms:W3CDTF">2026-03-02T04:58:48Z</dcterms:modified>
</cp:coreProperties>
</file>